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Noel Personal\Kazi\Projects\UN Data Analyst Projects\01_WFP IPC Prioritizer\"/>
    </mc:Choice>
  </mc:AlternateContent>
  <xr:revisionPtr revIDLastSave="0" documentId="13_ncr:1_{32B73509-4C7F-4E13-A0FE-3F433B190B15}" xr6:coauthVersionLast="47" xr6:coauthVersionMax="47" xr10:uidLastSave="{00000000-0000-0000-0000-000000000000}"/>
  <bookViews>
    <workbookView xWindow="-98" yWindow="-98" windowWidth="21795" windowHeight="12975" xr2:uid="{00000000-000D-0000-FFFF-FFFF00000000}"/>
  </bookViews>
  <sheets>
    <sheet name="IPC Data" sheetId="1" r:id="rId1"/>
    <sheet name="Dashboard" sheetId="3" r:id="rId2"/>
  </sheets>
  <definedNames>
    <definedName name="_xlchart.v5.0" hidden="1">'IPC Data'!$A$11</definedName>
    <definedName name="_xlchart.v5.1" hidden="1">'IPC Data'!$A$12</definedName>
    <definedName name="_xlchart.v5.10" hidden="1">Dashboard!$F$2</definedName>
    <definedName name="_xlchart.v5.11" hidden="1">'IPC Data'!$A$11</definedName>
    <definedName name="_xlchart.v5.12" hidden="1">'IPC Data'!$A$12</definedName>
    <definedName name="_xlchart.v5.13" hidden="1">'IPC Data'!$A$3</definedName>
    <definedName name="_xlchart.v5.14" hidden="1">'IPC Data'!$A$4:$A$11</definedName>
    <definedName name="_xlchart.v5.15" hidden="1">Dashboard!$F$1</definedName>
    <definedName name="_xlchart.v5.16" hidden="1">Dashboard!$F$1</definedName>
    <definedName name="_xlchart.v5.17" hidden="1">Dashboard!$F$2</definedName>
    <definedName name="_xlchart.v5.2" hidden="1">'IPC Data'!$A$3</definedName>
    <definedName name="_xlchart.v5.3" hidden="1">'IPC Data'!$A$4:$A$11</definedName>
    <definedName name="_xlchart.v5.4" hidden="1">'IPC Data'!$A$4:$A$12</definedName>
    <definedName name="_xlchart.v5.5" hidden="1">'IPC Data'!$C$3</definedName>
    <definedName name="_xlchart.v5.6" hidden="1">'IPC Data'!$C$4:$C$12</definedName>
    <definedName name="_xlchart.v5.7" hidden="1">Dashboard!$F$1</definedName>
    <definedName name="_xlchart.v5.8" hidden="1">Dashboard!$F$2</definedName>
    <definedName name="_xlchart.v5.9" hidden="1">Dashboard!$F$1</definedName>
    <definedName name="Slicer_Country">#N/A</definedName>
  </definedNames>
  <calcPr calcId="191029"/>
  <pivotCaches>
    <pivotCache cacheId="7"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6" i="1" l="1"/>
  <c r="H6" i="1" s="1"/>
  <c r="G5" i="1"/>
  <c r="H5" i="1" s="1"/>
  <c r="G7" i="1"/>
  <c r="H7" i="1" s="1"/>
  <c r="G8" i="1"/>
  <c r="H8" i="1" s="1"/>
  <c r="G9" i="1"/>
  <c r="H9" i="1" s="1"/>
  <c r="G10" i="1"/>
  <c r="H10" i="1" s="1"/>
  <c r="G11" i="1"/>
  <c r="H11" i="1" s="1"/>
  <c r="G12" i="1"/>
  <c r="H12" i="1" s="1"/>
  <c r="G4" i="1"/>
  <c r="H4" i="1"/>
  <c r="I5" i="1" l="1"/>
  <c r="I12" i="1"/>
  <c r="I11" i="1"/>
  <c r="I10" i="1"/>
  <c r="I9" i="1"/>
  <c r="I8" i="1"/>
  <c r="I7" i="1"/>
  <c r="I6" i="1"/>
  <c r="I4" i="1"/>
</calcChain>
</file>

<file path=xl/sharedStrings.xml><?xml version="1.0" encoding="utf-8"?>
<sst xmlns="http://schemas.openxmlformats.org/spreadsheetml/2006/main" count="46" uniqueCount="32">
  <si>
    <t>District</t>
  </si>
  <si>
    <t>IPC_Phase</t>
  </si>
  <si>
    <t>Population</t>
  </si>
  <si>
    <t>Maize_Price_USD_kg</t>
  </si>
  <si>
    <t>Cost_Per_Life</t>
  </si>
  <si>
    <t>Total_Cost_M</t>
  </si>
  <si>
    <t>Priority</t>
  </si>
  <si>
    <t>Row Labels</t>
  </si>
  <si>
    <t>Grand Total</t>
  </si>
  <si>
    <t>Sum of Total_Cost_M</t>
  </si>
  <si>
    <t>Country</t>
  </si>
  <si>
    <t>Kenya</t>
  </si>
  <si>
    <t>Somalia</t>
  </si>
  <si>
    <t>Ethiopia</t>
  </si>
  <si>
    <t>South Sudan</t>
  </si>
  <si>
    <t>Garissa County</t>
  </si>
  <si>
    <t>Mandera County</t>
  </si>
  <si>
    <t>Marsabit County</t>
  </si>
  <si>
    <t>Juba County</t>
  </si>
  <si>
    <t>Tana River County</t>
  </si>
  <si>
    <t>Samburu County</t>
  </si>
  <si>
    <t xml:space="preserve">Turkana County </t>
  </si>
  <si>
    <t>Gedo Region</t>
  </si>
  <si>
    <t>Dollo Ado</t>
  </si>
  <si>
    <t>Verified Data Sources:</t>
  </si>
  <si>
    <t>1. IPC Phases: FEWS.NET East Africa maps</t>
  </si>
  <si>
    <t>2. Populations: HDX COD-AB Kenya/Ethiopia/Somalia</t>
  </si>
  <si>
    <t>3. Maize prices: AGRA Food Security Monitor Jan 2026</t>
  </si>
  <si>
    <t>World Food Programme (WFP) IPC Phase 4/5 Priority Ranking - East Africa March 2026</t>
  </si>
  <si>
    <t>Daily_KG (WFP Rationing)</t>
  </si>
  <si>
    <t>Sum of Priority</t>
  </si>
  <si>
    <t>Sum of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</si>
</sst>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5" x14ac:knownFonts="1">
    <font>
      <sz val="11"/>
      <color theme="1"/>
      <name val="Calibri"/>
      <family val="2"/>
      <scheme val="minor"/>
    </font>
    <font>
      <sz val="11"/>
      <color theme="1"/>
      <name val="Calibri"/>
      <family val="2"/>
      <scheme val="minor"/>
    </font>
    <font>
      <b/>
      <u/>
      <sz val="18"/>
      <color theme="1"/>
      <name val="Times New Roman"/>
      <family val="1"/>
    </font>
    <font>
      <sz val="11"/>
      <color theme="1"/>
      <name val="Times New Roman"/>
      <family val="1"/>
    </font>
    <font>
      <b/>
      <u/>
      <sz val="11"/>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horizontal="center"/>
    </xf>
    <xf numFmtId="0" fontId="3" fillId="0" borderId="0" xfId="0" applyFont="1"/>
    <xf numFmtId="0" fontId="4" fillId="0" borderId="0" xfId="0" applyFont="1" applyAlignment="1">
      <alignment horizontal="center"/>
    </xf>
    <xf numFmtId="0" fontId="4" fillId="0" borderId="0" xfId="0" applyFont="1"/>
    <xf numFmtId="0" fontId="3" fillId="0" borderId="0" xfId="0" applyFont="1" applyAlignment="1">
      <alignment wrapText="1"/>
    </xf>
    <xf numFmtId="165" fontId="0" fillId="0" borderId="0" xfId="1" applyNumberFormat="1" applyFont="1"/>
    <xf numFmtId="165" fontId="0" fillId="0" borderId="0" xfId="0" applyNumberFormat="1"/>
  </cellXfs>
  <cellStyles count="2">
    <cellStyle name="Comma" xfId="1" builtinId="3"/>
    <cellStyle name="Normal" xfId="0" builtinId="0"/>
  </cellStyles>
  <dxfs count="32">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4" formatCode="_(* #,##0.0_);_(* \(#,##0.0\);_(* &quot;-&quot;??_);_(@_)"/>
    </dxf>
    <dxf>
      <numFmt numFmtId="165" formatCode="_(* #,##0_);_(* \(#,##0\);_(* &quot;-&quot;??_);_(@_)"/>
    </dxf>
    <dxf>
      <numFmt numFmtId="164" formatCode="_(* #,##0.0_);_(* \(#,##0.0\);_(* &quot;-&quot;??_);_(@_)"/>
    </dxf>
    <dxf>
      <numFmt numFmtId="165" formatCode="_(* #,##0_);_(* \(#,##0\);_(* &quot;-&quot;??_);_(@_)"/>
    </dxf>
    <dxf>
      <numFmt numFmtId="164" formatCode="_(* #,##0.0_);_(* \(#,##0.0\);_(* &quot;-&quot;??_);_(@_)"/>
    </dxf>
    <dxf>
      <numFmt numFmtId="164" formatCode="_(* #,##0.0_);_(* \(#,##0.0\);_(* &quot;-&quot;??_);_(@_)"/>
    </dxf>
    <dxf>
      <font>
        <color theme="0"/>
      </font>
      <fill>
        <patternFill>
          <fgColor rgb="FFFF0000"/>
          <bgColor rgb="FFFF0000"/>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xdr:row>
      <xdr:rowOff>47625</xdr:rowOff>
    </xdr:from>
    <xdr:to>
      <xdr:col>1</xdr:col>
      <xdr:colOff>752475</xdr:colOff>
      <xdr:row>20</xdr:row>
      <xdr:rowOff>90488</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63692B7D-8828-EEC5-477B-EA4F933BEC1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2219325"/>
              <a:ext cx="1828800" cy="1490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el Kaijabwango" refreshedDate="46085.74215474537" createdVersion="8" refreshedVersion="8" minRefreshableVersion="3" recordCount="9" xr:uid="{8CE59F71-D7D9-48FE-99C1-C6D7BEE2B924}">
  <cacheSource type="worksheet">
    <worksheetSource ref="A3:I12" sheet="IPC Data"/>
  </cacheSource>
  <cacheFields count="9">
    <cacheField name="Country" numFmtId="0">
      <sharedItems count="4">
        <s v="Kenya"/>
        <s v="Somalia"/>
        <s v="Ethiopia"/>
        <s v="South Sudan"/>
      </sharedItems>
    </cacheField>
    <cacheField name="District" numFmtId="0">
      <sharedItems count="9">
        <s v="Garissa County"/>
        <s v="Turkana County "/>
        <s v="Mandera County"/>
        <s v="Marsabit County"/>
        <s v="Gedo Region"/>
        <s v="Dollo Ado"/>
        <s v="Juba County"/>
        <s v="Tana River County"/>
        <s v="Samburu County"/>
      </sharedItems>
    </cacheField>
    <cacheField name="IPC_Phase" numFmtId="0">
      <sharedItems containsSemiMixedTypes="0" containsString="0" containsNumber="1" containsInteger="1" minValue="4" maxValue="5"/>
    </cacheField>
    <cacheField name="Population" numFmtId="0">
      <sharedItems containsSemiMixedTypes="0" containsString="0" containsNumber="1" containsInteger="1" minValue="189000" maxValue="867000"/>
    </cacheField>
    <cacheField name="Maize_Price_USD_kg" numFmtId="0">
      <sharedItems containsSemiMixedTypes="0" containsString="0" containsNumber="1" minValue="0.57999999999999996" maxValue="0.75"/>
    </cacheField>
    <cacheField name="Daily_KG (WFP Rationing)" numFmtId="0">
      <sharedItems containsSemiMixedTypes="0" containsString="0" containsNumber="1" minValue="0.3" maxValue="0.3"/>
    </cacheField>
    <cacheField name="Cost_Per_Life" numFmtId="0">
      <sharedItems containsSemiMixedTypes="0" containsString="0" containsNumber="1" minValue="0.17399999999999999" maxValue="0.22499999999999998"/>
    </cacheField>
    <cacheField name="Total_Cost_M" numFmtId="0">
      <sharedItems containsSemiMixedTypes="0" containsString="0" containsNumber="1" minValue="4.0823999999999999E-2" maxValue="0.176868"/>
    </cacheField>
    <cacheField name="Priority" numFmtId="0">
      <sharedItems containsSemiMixedTypes="0" containsString="0" containsNumber="1" containsInteger="1" minValue="1" maxValue="9"/>
    </cacheField>
  </cacheFields>
  <extLst>
    <ext xmlns:x14="http://schemas.microsoft.com/office/spreadsheetml/2009/9/main" uri="{725AE2AE-9491-48be-B2B4-4EB974FC3084}">
      <x14:pivotCacheDefinition pivotCacheId="3411462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n v="5"/>
    <n v="623000"/>
    <n v="0.65"/>
    <n v="0.3"/>
    <n v="0.19500000000000001"/>
    <n v="0.121485"/>
    <n v="4"/>
  </r>
  <r>
    <x v="0"/>
    <x v="1"/>
    <n v="4"/>
    <n v="189000"/>
    <n v="0.72"/>
    <n v="0.3"/>
    <n v="0.216"/>
    <n v="4.0823999999999999E-2"/>
    <n v="9"/>
  </r>
  <r>
    <x v="0"/>
    <x v="2"/>
    <n v="4"/>
    <n v="867000"/>
    <n v="0.68"/>
    <n v="0.3"/>
    <n v="0.20400000000000001"/>
    <n v="0.176868"/>
    <n v="1"/>
  </r>
  <r>
    <x v="0"/>
    <x v="3"/>
    <n v="4"/>
    <n v="459000"/>
    <n v="0.7"/>
    <n v="0.3"/>
    <n v="0.21"/>
    <n v="9.6390000000000003E-2"/>
    <n v="5"/>
  </r>
  <r>
    <x v="1"/>
    <x v="4"/>
    <n v="5"/>
    <n v="825000"/>
    <n v="0.62"/>
    <n v="0.3"/>
    <n v="0.186"/>
    <n v="0.15345"/>
    <n v="2"/>
  </r>
  <r>
    <x v="2"/>
    <x v="5"/>
    <n v="4"/>
    <n v="312000"/>
    <n v="0.57999999999999996"/>
    <n v="0.3"/>
    <n v="0.17399999999999999"/>
    <n v="5.4287999999999996E-2"/>
    <n v="7"/>
  </r>
  <r>
    <x v="3"/>
    <x v="6"/>
    <n v="4"/>
    <n v="548000"/>
    <n v="0.75"/>
    <n v="0.3"/>
    <n v="0.22499999999999998"/>
    <n v="0.12329999999999998"/>
    <n v="3"/>
  </r>
  <r>
    <x v="0"/>
    <x v="7"/>
    <n v="4"/>
    <n v="315000"/>
    <n v="0.67"/>
    <n v="0.3"/>
    <n v="0.20100000000000001"/>
    <n v="6.331500000000001E-2"/>
    <n v="6"/>
  </r>
  <r>
    <x v="0"/>
    <x v="8"/>
    <n v="4"/>
    <n v="234000"/>
    <n v="0.71"/>
    <n v="0.3"/>
    <n v="0.21299999999999999"/>
    <n v="4.9841999999999997E-2"/>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A3B0A1-5E6A-40F1-A823-281EC829A2EE}"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11" firstHeaderRow="0" firstDataRow="1" firstDataCol="1"/>
  <pivotFields count="9">
    <pivotField showAll="0">
      <items count="5">
        <item x="2"/>
        <item x="0"/>
        <item x="1"/>
        <item x="3"/>
        <item t="default"/>
      </items>
    </pivotField>
    <pivotField axis="axisRow" showAll="0" sortType="ascending">
      <items count="10">
        <item x="0"/>
        <item x="1"/>
        <item x="2"/>
        <item x="3"/>
        <item x="4"/>
        <item x="5"/>
        <item x="6"/>
        <item x="7"/>
        <item x="8"/>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pivotField showAll="0"/>
    <pivotField dataField="1" showAll="0"/>
    <pivotField dataField="1" showAll="0"/>
  </pivotFields>
  <rowFields count="1">
    <field x="1"/>
  </rowFields>
  <rowItems count="10">
    <i>
      <x v="2"/>
    </i>
    <i>
      <x v="4"/>
    </i>
    <i>
      <x v="6"/>
    </i>
    <i>
      <x/>
    </i>
    <i>
      <x v="3"/>
    </i>
    <i>
      <x v="7"/>
    </i>
    <i>
      <x v="5"/>
    </i>
    <i>
      <x v="8"/>
    </i>
    <i>
      <x v="1"/>
    </i>
    <i t="grand">
      <x/>
    </i>
  </rowItems>
  <colFields count="1">
    <field x="-2"/>
  </colFields>
  <colItems count="3">
    <i>
      <x/>
    </i>
    <i i="1">
      <x v="1"/>
    </i>
    <i i="2">
      <x v="2"/>
    </i>
  </colItems>
  <dataFields count="3">
    <dataField name="Sum of Total_Cost_M" fld="7" baseField="0" baseItem="0"/>
    <dataField name="Sum of Priority" fld="8" baseField="0" baseItem="0"/>
    <dataField name="Sum of Population" fld="3" baseField="0" baseItem="0" numFmtId="165"/>
  </dataFields>
  <formats count="2">
    <format dxfId="27">
      <pivotArea outline="0" collapsedLevelsAreSubtotals="1" fieldPosition="0">
        <references count="1">
          <reference field="4294967294" count="1" selected="0">
            <x v="2"/>
          </reference>
        </references>
      </pivotArea>
    </format>
    <format dxfId="25">
      <pivotArea dataOnly="0" labelOnly="1" outline="0" fieldPosition="0">
        <references count="1">
          <reference field="4294967294" count="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2368D99-EDF7-47A8-B6EC-06C493ED9D50}" sourceName="Country">
  <pivotTables>
    <pivotTable tabId="3" name="PivotTable1"/>
  </pivotTables>
  <data>
    <tabular pivotCacheId="341146264">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C3D3518-D02B-4A03-A9B4-CE94868D0D0C}" cache="Slicer_Country" caption="Count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8705"/>
  <sheetViews>
    <sheetView tabSelected="1" workbookViewId="0">
      <selection activeCell="E19" sqref="E19"/>
    </sheetView>
  </sheetViews>
  <sheetFormatPr defaultColWidth="12.796875" defaultRowHeight="13.9" x14ac:dyDescent="0.4"/>
  <cols>
    <col min="1" max="1" width="15.33203125" style="5" customWidth="1"/>
    <col min="2" max="2" width="36.33203125" style="5" customWidth="1"/>
    <col min="3" max="3" width="9.796875" style="5" bestFit="1" customWidth="1"/>
    <col min="4" max="4" width="9.6640625" style="5" bestFit="1" customWidth="1"/>
    <col min="5" max="5" width="19" style="5" bestFit="1" customWidth="1"/>
    <col min="6" max="6" width="23.9296875" style="5" bestFit="1" customWidth="1"/>
    <col min="7" max="7" width="12.6640625" style="5" bestFit="1" customWidth="1"/>
    <col min="8" max="8" width="12.59765625" style="5" bestFit="1" customWidth="1"/>
    <col min="9" max="9" width="12.46484375" style="5" customWidth="1"/>
    <col min="10" max="16384" width="12.796875" style="5"/>
  </cols>
  <sheetData>
    <row r="1" spans="1:9" ht="22.5" x14ac:dyDescent="0.6">
      <c r="A1" s="4" t="s">
        <v>28</v>
      </c>
      <c r="B1" s="4"/>
      <c r="C1" s="4"/>
      <c r="D1" s="4"/>
      <c r="E1" s="4"/>
      <c r="F1" s="4"/>
      <c r="G1" s="4"/>
      <c r="H1" s="4"/>
      <c r="I1" s="4"/>
    </row>
    <row r="2" spans="1:9" x14ac:dyDescent="0.4">
      <c r="A2" s="6"/>
      <c r="B2" s="6"/>
      <c r="C2" s="6"/>
      <c r="D2" s="6"/>
      <c r="E2" s="6"/>
      <c r="F2" s="6"/>
      <c r="G2" s="6"/>
      <c r="H2" s="6"/>
      <c r="I2" s="6"/>
    </row>
    <row r="3" spans="1:9" s="6" customFormat="1" ht="13.5" x14ac:dyDescent="0.35">
      <c r="A3" s="6" t="s">
        <v>10</v>
      </c>
      <c r="B3" s="6" t="s">
        <v>0</v>
      </c>
      <c r="C3" s="6" t="s">
        <v>1</v>
      </c>
      <c r="D3" s="6" t="s">
        <v>2</v>
      </c>
      <c r="E3" s="6" t="s">
        <v>3</v>
      </c>
      <c r="F3" s="6" t="s">
        <v>29</v>
      </c>
      <c r="G3" s="6" t="s">
        <v>4</v>
      </c>
      <c r="H3" s="6" t="s">
        <v>5</v>
      </c>
      <c r="I3" s="6" t="s">
        <v>6</v>
      </c>
    </row>
    <row r="4" spans="1:9" x14ac:dyDescent="0.4">
      <c r="A4" s="5" t="s">
        <v>11</v>
      </c>
      <c r="B4" s="5" t="s">
        <v>15</v>
      </c>
      <c r="C4" s="5">
        <v>5</v>
      </c>
      <c r="D4" s="5">
        <v>623000</v>
      </c>
      <c r="E4" s="5">
        <v>0.65</v>
      </c>
      <c r="F4" s="5">
        <v>0.3</v>
      </c>
      <c r="G4" s="5">
        <f>E4*$F$4</f>
        <v>0.19500000000000001</v>
      </c>
      <c r="H4" s="5">
        <f>G4*D4/1000000</f>
        <v>0.121485</v>
      </c>
      <c r="I4" s="5">
        <f>RANK(H4,$H$4:$H$12,0)</f>
        <v>4</v>
      </c>
    </row>
    <row r="5" spans="1:9" x14ac:dyDescent="0.4">
      <c r="A5" s="5" t="s">
        <v>11</v>
      </c>
      <c r="B5" s="5" t="s">
        <v>21</v>
      </c>
      <c r="C5" s="5">
        <v>4</v>
      </c>
      <c r="D5" s="5">
        <v>189000</v>
      </c>
      <c r="E5" s="5">
        <v>0.72</v>
      </c>
      <c r="F5" s="5">
        <v>0.3</v>
      </c>
      <c r="G5" s="5">
        <f>E5*$F$4</f>
        <v>0.216</v>
      </c>
      <c r="H5" s="5">
        <f t="shared" ref="H5:H12" si="0">G5*D5/1000000</f>
        <v>4.0823999999999999E-2</v>
      </c>
      <c r="I5" s="5">
        <f t="shared" ref="I5:I12" si="1">RANK(H5,$H$4:$H$12,0)</f>
        <v>9</v>
      </c>
    </row>
    <row r="6" spans="1:9" x14ac:dyDescent="0.4">
      <c r="A6" s="5" t="s">
        <v>11</v>
      </c>
      <c r="B6" s="5" t="s">
        <v>16</v>
      </c>
      <c r="C6" s="5">
        <v>4</v>
      </c>
      <c r="D6" s="5">
        <v>867000</v>
      </c>
      <c r="E6" s="5">
        <v>0.68</v>
      </c>
      <c r="F6" s="5">
        <v>0.3</v>
      </c>
      <c r="G6" s="5">
        <f>E6*$F$4</f>
        <v>0.20400000000000001</v>
      </c>
      <c r="H6" s="5">
        <f t="shared" si="0"/>
        <v>0.176868</v>
      </c>
      <c r="I6" s="5">
        <f t="shared" si="1"/>
        <v>1</v>
      </c>
    </row>
    <row r="7" spans="1:9" x14ac:dyDescent="0.4">
      <c r="A7" s="5" t="s">
        <v>11</v>
      </c>
      <c r="B7" s="5" t="s">
        <v>17</v>
      </c>
      <c r="C7" s="5">
        <v>4</v>
      </c>
      <c r="D7" s="5">
        <v>459000</v>
      </c>
      <c r="E7" s="5">
        <v>0.7</v>
      </c>
      <c r="F7" s="5">
        <v>0.3</v>
      </c>
      <c r="G7" s="5">
        <f>E7*$F$4</f>
        <v>0.21</v>
      </c>
      <c r="H7" s="5">
        <f t="shared" si="0"/>
        <v>9.6390000000000003E-2</v>
      </c>
      <c r="I7" s="5">
        <f t="shared" si="1"/>
        <v>5</v>
      </c>
    </row>
    <row r="8" spans="1:9" x14ac:dyDescent="0.4">
      <c r="A8" s="5" t="s">
        <v>12</v>
      </c>
      <c r="B8" s="5" t="s">
        <v>22</v>
      </c>
      <c r="C8" s="5">
        <v>5</v>
      </c>
      <c r="D8" s="5">
        <v>825000</v>
      </c>
      <c r="E8" s="5">
        <v>0.62</v>
      </c>
      <c r="F8" s="5">
        <v>0.3</v>
      </c>
      <c r="G8" s="5">
        <f>E8*$F$4</f>
        <v>0.186</v>
      </c>
      <c r="H8" s="5">
        <f t="shared" si="0"/>
        <v>0.15345</v>
      </c>
      <c r="I8" s="5">
        <f t="shared" si="1"/>
        <v>2</v>
      </c>
    </row>
    <row r="9" spans="1:9" x14ac:dyDescent="0.4">
      <c r="A9" s="5" t="s">
        <v>13</v>
      </c>
      <c r="B9" s="5" t="s">
        <v>23</v>
      </c>
      <c r="C9" s="5">
        <v>4</v>
      </c>
      <c r="D9" s="5">
        <v>312000</v>
      </c>
      <c r="E9" s="5">
        <v>0.57999999999999996</v>
      </c>
      <c r="F9" s="5">
        <v>0.3</v>
      </c>
      <c r="G9" s="5">
        <f>E9*$F$4</f>
        <v>0.17399999999999999</v>
      </c>
      <c r="H9" s="5">
        <f t="shared" si="0"/>
        <v>5.4287999999999996E-2</v>
      </c>
      <c r="I9" s="5">
        <f t="shared" si="1"/>
        <v>7</v>
      </c>
    </row>
    <row r="10" spans="1:9" x14ac:dyDescent="0.4">
      <c r="A10" s="5" t="s">
        <v>14</v>
      </c>
      <c r="B10" s="5" t="s">
        <v>18</v>
      </c>
      <c r="C10" s="5">
        <v>4</v>
      </c>
      <c r="D10" s="5">
        <v>548000</v>
      </c>
      <c r="E10" s="5">
        <v>0.75</v>
      </c>
      <c r="F10" s="5">
        <v>0.3</v>
      </c>
      <c r="G10" s="5">
        <f>E10*$F$4</f>
        <v>0.22499999999999998</v>
      </c>
      <c r="H10" s="5">
        <f t="shared" si="0"/>
        <v>0.12329999999999998</v>
      </c>
      <c r="I10" s="5">
        <f t="shared" si="1"/>
        <v>3</v>
      </c>
    </row>
    <row r="11" spans="1:9" x14ac:dyDescent="0.4">
      <c r="A11" s="5" t="s">
        <v>11</v>
      </c>
      <c r="B11" s="5" t="s">
        <v>19</v>
      </c>
      <c r="C11" s="5">
        <v>4</v>
      </c>
      <c r="D11" s="5">
        <v>315000</v>
      </c>
      <c r="E11" s="5">
        <v>0.67</v>
      </c>
      <c r="F11" s="5">
        <v>0.3</v>
      </c>
      <c r="G11" s="5">
        <f>E11*$F$4</f>
        <v>0.20100000000000001</v>
      </c>
      <c r="H11" s="5">
        <f t="shared" si="0"/>
        <v>6.331500000000001E-2</v>
      </c>
      <c r="I11" s="5">
        <f t="shared" si="1"/>
        <v>6</v>
      </c>
    </row>
    <row r="12" spans="1:9" x14ac:dyDescent="0.4">
      <c r="A12" s="5" t="s">
        <v>11</v>
      </c>
      <c r="B12" s="5" t="s">
        <v>20</v>
      </c>
      <c r="C12" s="5">
        <v>4</v>
      </c>
      <c r="D12" s="5">
        <v>234000</v>
      </c>
      <c r="E12" s="5">
        <v>0.71</v>
      </c>
      <c r="F12" s="5">
        <v>0.3</v>
      </c>
      <c r="G12" s="5">
        <f>E12*$F$4</f>
        <v>0.21299999999999999</v>
      </c>
      <c r="H12" s="5">
        <f t="shared" si="0"/>
        <v>4.9841999999999997E-2</v>
      </c>
      <c r="I12" s="5">
        <f t="shared" si="1"/>
        <v>8</v>
      </c>
    </row>
    <row r="15" spans="1:9" x14ac:dyDescent="0.4">
      <c r="B15" s="7" t="s">
        <v>24</v>
      </c>
    </row>
    <row r="16" spans="1:9" x14ac:dyDescent="0.4">
      <c r="B16" s="5" t="s">
        <v>25</v>
      </c>
    </row>
    <row r="17" spans="2:2" x14ac:dyDescent="0.4">
      <c r="B17" s="5" t="s">
        <v>26</v>
      </c>
    </row>
    <row r="18" spans="2:2" x14ac:dyDescent="0.4">
      <c r="B18" s="5" t="s">
        <v>27</v>
      </c>
    </row>
    <row r="18776" spans="2:2" x14ac:dyDescent="0.4">
      <c r="B18776" s="8"/>
    </row>
    <row r="18777" spans="2:2" x14ac:dyDescent="0.4">
      <c r="B18777" s="8"/>
    </row>
    <row r="18778" spans="2:2" x14ac:dyDescent="0.4">
      <c r="B18778" s="8"/>
    </row>
    <row r="20372" spans="2:2" x14ac:dyDescent="0.4">
      <c r="B20372" s="8"/>
    </row>
    <row r="20373" spans="2:2" x14ac:dyDescent="0.4">
      <c r="B20373" s="8"/>
    </row>
    <row r="20374" spans="2:2" x14ac:dyDescent="0.4">
      <c r="B20374" s="8"/>
    </row>
    <row r="20375" spans="2:2" x14ac:dyDescent="0.4">
      <c r="B20375" s="8"/>
    </row>
    <row r="20376" spans="2:2" x14ac:dyDescent="0.4">
      <c r="B20376" s="8"/>
    </row>
    <row r="20377" spans="2:2" x14ac:dyDescent="0.4">
      <c r="B20377" s="8"/>
    </row>
    <row r="20378" spans="2:2" x14ac:dyDescent="0.4">
      <c r="B20378" s="8"/>
    </row>
    <row r="20379" spans="2:2" x14ac:dyDescent="0.4">
      <c r="B20379" s="8"/>
    </row>
    <row r="20380" spans="2:2" x14ac:dyDescent="0.4">
      <c r="B20380" s="8"/>
    </row>
    <row r="20381" spans="2:2" x14ac:dyDescent="0.4">
      <c r="B20381" s="8"/>
    </row>
    <row r="20382" spans="2:2" x14ac:dyDescent="0.4">
      <c r="B20382" s="8"/>
    </row>
    <row r="20383" spans="2:2" x14ac:dyDescent="0.4">
      <c r="B20383" s="8"/>
    </row>
    <row r="20384" spans="2:2" x14ac:dyDescent="0.4">
      <c r="B20384" s="8"/>
    </row>
    <row r="20385" spans="2:2" x14ac:dyDescent="0.4">
      <c r="B20385" s="8"/>
    </row>
    <row r="20386" spans="2:2" x14ac:dyDescent="0.4">
      <c r="B20386" s="8"/>
    </row>
    <row r="20387" spans="2:2" x14ac:dyDescent="0.4">
      <c r="B20387" s="8"/>
    </row>
    <row r="20388" spans="2:2" x14ac:dyDescent="0.4">
      <c r="B20388" s="8"/>
    </row>
    <row r="20389" spans="2:2" x14ac:dyDescent="0.4">
      <c r="B20389" s="8"/>
    </row>
    <row r="20390" spans="2:2" x14ac:dyDescent="0.4">
      <c r="B20390" s="8"/>
    </row>
    <row r="20391" spans="2:2" x14ac:dyDescent="0.4">
      <c r="B20391" s="8"/>
    </row>
    <row r="20392" spans="2:2" x14ac:dyDescent="0.4">
      <c r="B20392" s="8"/>
    </row>
    <row r="20393" spans="2:2" x14ac:dyDescent="0.4">
      <c r="B20393" s="8"/>
    </row>
    <row r="20394" spans="2:2" x14ac:dyDescent="0.4">
      <c r="B20394" s="8"/>
    </row>
    <row r="20395" spans="2:2" x14ac:dyDescent="0.4">
      <c r="B20395" s="8"/>
    </row>
    <row r="20396" spans="2:2" x14ac:dyDescent="0.4">
      <c r="B20396" s="8"/>
    </row>
    <row r="20397" spans="2:2" x14ac:dyDescent="0.4">
      <c r="B20397" s="8"/>
    </row>
    <row r="20398" spans="2:2" x14ac:dyDescent="0.4">
      <c r="B20398" s="8"/>
    </row>
    <row r="20399" spans="2:2" x14ac:dyDescent="0.4">
      <c r="B20399" s="8"/>
    </row>
    <row r="20400" spans="2:2" x14ac:dyDescent="0.4">
      <c r="B20400" s="8"/>
    </row>
    <row r="20401" spans="2:2" x14ac:dyDescent="0.4">
      <c r="B20401" s="8"/>
    </row>
    <row r="20402" spans="2:2" x14ac:dyDescent="0.4">
      <c r="B20402" s="8"/>
    </row>
    <row r="20403" spans="2:2" x14ac:dyDescent="0.4">
      <c r="B20403" s="8"/>
    </row>
    <row r="20404" spans="2:2" x14ac:dyDescent="0.4">
      <c r="B20404" s="8"/>
    </row>
    <row r="20405" spans="2:2" x14ac:dyDescent="0.4">
      <c r="B20405" s="8"/>
    </row>
    <row r="20406" spans="2:2" x14ac:dyDescent="0.4">
      <c r="B20406" s="8"/>
    </row>
    <row r="20407" spans="2:2" x14ac:dyDescent="0.4">
      <c r="B20407" s="8"/>
    </row>
    <row r="20408" spans="2:2" x14ac:dyDescent="0.4">
      <c r="B20408" s="8"/>
    </row>
    <row r="20409" spans="2:2" x14ac:dyDescent="0.4">
      <c r="B20409" s="8"/>
    </row>
    <row r="20410" spans="2:2" x14ac:dyDescent="0.4">
      <c r="B20410" s="8"/>
    </row>
    <row r="20411" spans="2:2" x14ac:dyDescent="0.4">
      <c r="B20411" s="8"/>
    </row>
    <row r="78699" spans="2:2" x14ac:dyDescent="0.4">
      <c r="B78699" s="8"/>
    </row>
    <row r="78700" spans="2:2" x14ac:dyDescent="0.4">
      <c r="B78700" s="8"/>
    </row>
    <row r="78701" spans="2:2" x14ac:dyDescent="0.4">
      <c r="B78701" s="8"/>
    </row>
    <row r="78702" spans="2:2" x14ac:dyDescent="0.4">
      <c r="B78702" s="8"/>
    </row>
    <row r="78703" spans="2:2" x14ac:dyDescent="0.4">
      <c r="B78703" s="8"/>
    </row>
    <row r="78704" spans="2:2" x14ac:dyDescent="0.4">
      <c r="B78704" s="8"/>
    </row>
    <row r="78705" spans="2:2" x14ac:dyDescent="0.4">
      <c r="B78705" s="8"/>
    </row>
  </sheetData>
  <mergeCells count="1">
    <mergeCell ref="A1:I1"/>
  </mergeCells>
  <conditionalFormatting sqref="C3:C1048576">
    <cfRule type="cellIs" dxfId="31" priority="1" operator="equal">
      <formula>4</formula>
    </cfRule>
    <cfRule type="cellIs" dxfId="30" priority="2" operator="equal">
      <formula>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EC330-8C89-43EA-8963-D231EFA3F3B5}">
  <dimension ref="A1:D11"/>
  <sheetViews>
    <sheetView workbookViewId="0">
      <selection activeCell="I19" sqref="I19"/>
    </sheetView>
  </sheetViews>
  <sheetFormatPr defaultRowHeight="14.25" x14ac:dyDescent="0.45"/>
  <cols>
    <col min="1" max="1" width="15.06640625" bestFit="1" customWidth="1"/>
    <col min="2" max="2" width="18.19921875" bestFit="1" customWidth="1"/>
    <col min="3" max="3" width="12.9296875" bestFit="1" customWidth="1"/>
    <col min="4" max="4" width="17.1328125" style="9" bestFit="1" customWidth="1"/>
  </cols>
  <sheetData>
    <row r="1" spans="1:4" x14ac:dyDescent="0.45">
      <c r="A1" s="1" t="s">
        <v>7</v>
      </c>
      <c r="B1" t="s">
        <v>9</v>
      </c>
      <c r="C1" t="s">
        <v>30</v>
      </c>
      <c r="D1" s="10" t="s">
        <v>31</v>
      </c>
    </row>
    <row r="2" spans="1:4" x14ac:dyDescent="0.45">
      <c r="A2" s="2" t="s">
        <v>16</v>
      </c>
      <c r="B2" s="3">
        <v>0.176868</v>
      </c>
      <c r="C2" s="3">
        <v>1</v>
      </c>
      <c r="D2" s="10">
        <v>867000</v>
      </c>
    </row>
    <row r="3" spans="1:4" x14ac:dyDescent="0.45">
      <c r="A3" s="2" t="s">
        <v>22</v>
      </c>
      <c r="B3" s="3">
        <v>0.15345</v>
      </c>
      <c r="C3" s="3">
        <v>2</v>
      </c>
      <c r="D3" s="10">
        <v>825000</v>
      </c>
    </row>
    <row r="4" spans="1:4" x14ac:dyDescent="0.45">
      <c r="A4" s="2" t="s">
        <v>18</v>
      </c>
      <c r="B4" s="3">
        <v>0.12329999999999998</v>
      </c>
      <c r="C4" s="3">
        <v>3</v>
      </c>
      <c r="D4" s="10">
        <v>548000</v>
      </c>
    </row>
    <row r="5" spans="1:4" x14ac:dyDescent="0.45">
      <c r="A5" s="2" t="s">
        <v>15</v>
      </c>
      <c r="B5" s="3">
        <v>0.121485</v>
      </c>
      <c r="C5" s="3">
        <v>4</v>
      </c>
      <c r="D5" s="10">
        <v>623000</v>
      </c>
    </row>
    <row r="6" spans="1:4" x14ac:dyDescent="0.45">
      <c r="A6" s="2" t="s">
        <v>17</v>
      </c>
      <c r="B6" s="3">
        <v>9.6390000000000003E-2</v>
      </c>
      <c r="C6" s="3">
        <v>5</v>
      </c>
      <c r="D6" s="10">
        <v>459000</v>
      </c>
    </row>
    <row r="7" spans="1:4" x14ac:dyDescent="0.45">
      <c r="A7" s="2" t="s">
        <v>19</v>
      </c>
      <c r="B7" s="3">
        <v>6.331500000000001E-2</v>
      </c>
      <c r="C7" s="3">
        <v>6</v>
      </c>
      <c r="D7" s="10">
        <v>315000</v>
      </c>
    </row>
    <row r="8" spans="1:4" x14ac:dyDescent="0.45">
      <c r="A8" s="2" t="s">
        <v>23</v>
      </c>
      <c r="B8" s="3">
        <v>5.4287999999999996E-2</v>
      </c>
      <c r="C8" s="3">
        <v>7</v>
      </c>
      <c r="D8" s="10">
        <v>312000</v>
      </c>
    </row>
    <row r="9" spans="1:4" x14ac:dyDescent="0.45">
      <c r="A9" s="2" t="s">
        <v>20</v>
      </c>
      <c r="B9" s="3">
        <v>4.9841999999999997E-2</v>
      </c>
      <c r="C9" s="3">
        <v>8</v>
      </c>
      <c r="D9" s="10">
        <v>234000</v>
      </c>
    </row>
    <row r="10" spans="1:4" x14ac:dyDescent="0.45">
      <c r="A10" s="2" t="s">
        <v>21</v>
      </c>
      <c r="B10" s="3">
        <v>4.0823999999999999E-2</v>
      </c>
      <c r="C10" s="3">
        <v>9</v>
      </c>
      <c r="D10" s="10">
        <v>189000</v>
      </c>
    </row>
    <row r="11" spans="1:4" x14ac:dyDescent="0.45">
      <c r="A11" s="2" t="s">
        <v>8</v>
      </c>
      <c r="B11" s="3">
        <v>0.87976199999999993</v>
      </c>
      <c r="C11" s="3">
        <v>45</v>
      </c>
      <c r="D11" s="10">
        <v>4372000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IPC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Noel Kaijabwango</dc:creator>
  <cp:lastModifiedBy>Noel Kaijabwango</cp:lastModifiedBy>
  <dcterms:created xsi:type="dcterms:W3CDTF">2015-06-05T18:17:20Z</dcterms:created>
  <dcterms:modified xsi:type="dcterms:W3CDTF">2026-03-04T15:41:02Z</dcterms:modified>
</cp:coreProperties>
</file>